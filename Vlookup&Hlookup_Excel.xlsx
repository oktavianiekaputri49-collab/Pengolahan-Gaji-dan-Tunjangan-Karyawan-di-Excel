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87481F93-AD1F-435B-89A8-19684132670A}" xr6:coauthVersionLast="47" xr6:coauthVersionMax="47" xr10:uidLastSave="{00000000-0000-0000-0000-000000000000}"/>
  <bookViews>
    <workbookView xWindow="-110" yWindow="-110" windowWidth="19420" windowHeight="10300" xr2:uid="{FF075E00-CFAD-48EB-8869-F87AF085B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  <c r="D2" i="1"/>
  <c r="D4" i="1"/>
  <c r="D3" i="1"/>
  <c r="D5" i="1"/>
  <c r="D6" i="1"/>
  <c r="D7" i="1"/>
  <c r="D8" i="1"/>
  <c r="D9" i="1"/>
  <c r="D10" i="1"/>
  <c r="D11" i="1"/>
  <c r="C2" i="1"/>
  <c r="C3" i="1"/>
  <c r="C4" i="1"/>
  <c r="C5" i="1"/>
  <c r="C6" i="1"/>
  <c r="C7" i="1"/>
  <c r="C8" i="1"/>
  <c r="C9" i="1"/>
  <c r="C10" i="1"/>
  <c r="C11" i="1"/>
</calcChain>
</file>

<file path=xl/sharedStrings.xml><?xml version="1.0" encoding="utf-8"?>
<sst xmlns="http://schemas.openxmlformats.org/spreadsheetml/2006/main" count="41" uniqueCount="17">
  <si>
    <t>Gol</t>
  </si>
  <si>
    <t>2B</t>
  </si>
  <si>
    <t>2A</t>
  </si>
  <si>
    <t>2D</t>
  </si>
  <si>
    <t>2C</t>
  </si>
  <si>
    <t>Status</t>
  </si>
  <si>
    <t>Belum</t>
  </si>
  <si>
    <t>Nikah</t>
  </si>
  <si>
    <t>GAJI POKOK</t>
  </si>
  <si>
    <t>SUDAH MENIKAH</t>
  </si>
  <si>
    <t>BELUM MENIKAH</t>
  </si>
  <si>
    <t>Total</t>
  </si>
  <si>
    <t>TABEL GOLONGAN GAJI</t>
  </si>
  <si>
    <t>Gaji Pokok</t>
  </si>
  <si>
    <t>TABEL TUNJANGAN</t>
  </si>
  <si>
    <t>Golongan</t>
  </si>
  <si>
    <t>Status Nikah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</si>
</sst>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_-;\-* #,##0_-;_-* &quot;-&quot;??_-;_-@_-"/>
    <numFmt numFmtId="167" formatCode="_-[$Rp-3809]* #,##0.00_-;\-[$Rp-3809]* #,##0.00_-;_-[$Rp-3809]* &quot;-&quot;??_-;_-@_-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/>
    <xf numFmtId="0" fontId="2" fillId="0" borderId="1" xfId="0" applyFont="1" applyBorder="1" applyAlignment="1">
      <alignment horizontal="center"/>
    </xf>
    <xf numFmtId="165" fontId="2" fillId="0" borderId="1" xfId="1" applyNumberFormat="1" applyFont="1" applyBorder="1"/>
    <xf numFmtId="0" fontId="2" fillId="0" borderId="1" xfId="0" applyNumberFormat="1" applyFont="1" applyBorder="1" applyAlignment="1">
      <alignment horizontal="center"/>
    </xf>
    <xf numFmtId="3" fontId="2" fillId="0" borderId="1" xfId="1" applyNumberFormat="1" applyFont="1" applyBorder="1"/>
    <xf numFmtId="167" fontId="2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E075-CDD6-4FF9-84EC-DE98F82C578C}">
  <dimension ref="A1:F23"/>
  <sheetViews>
    <sheetView tabSelected="1" workbookViewId="0">
      <selection activeCell="F5" sqref="F5"/>
    </sheetView>
  </sheetViews>
  <sheetFormatPr defaultRowHeight="15.5" x14ac:dyDescent="0.35"/>
  <cols>
    <col min="1" max="1" width="11.36328125" style="2" bestFit="1" customWidth="1"/>
    <col min="2" max="2" width="12.7265625" style="2" bestFit="1" customWidth="1"/>
    <col min="3" max="3" width="16.36328125" style="2" bestFit="1" customWidth="1"/>
    <col min="4" max="4" width="20.08984375" style="2" bestFit="1" customWidth="1"/>
    <col min="5" max="5" width="20.54296875" style="2" bestFit="1" customWidth="1"/>
    <col min="6" max="16384" width="8.7265625" style="2"/>
  </cols>
  <sheetData>
    <row r="1" spans="1:6" x14ac:dyDescent="0.35">
      <c r="A1" s="4" t="s">
        <v>0</v>
      </c>
      <c r="B1" s="4" t="s">
        <v>5</v>
      </c>
      <c r="C1" s="4" t="s">
        <v>8</v>
      </c>
      <c r="D1" s="4" t="s">
        <v>9</v>
      </c>
      <c r="E1" s="4" t="s">
        <v>10</v>
      </c>
      <c r="F1" s="1"/>
    </row>
    <row r="2" spans="1:6" x14ac:dyDescent="0.35">
      <c r="A2" s="8" t="s">
        <v>1</v>
      </c>
      <c r="B2" s="8" t="s">
        <v>6</v>
      </c>
      <c r="C2" s="12">
        <f>HLOOKUP(A2,$A$15:$E$16,2,FALSE)</f>
        <v>1500000</v>
      </c>
      <c r="D2" s="12">
        <f>VLOOKUP(A2,$A$19:$C$23,2,FALSE)</f>
        <v>250000</v>
      </c>
      <c r="E2" s="12">
        <f>VLOOKUP(A2,$A$19:$C$23,3,FALSE)</f>
        <v>150000</v>
      </c>
    </row>
    <row r="3" spans="1:6" x14ac:dyDescent="0.35">
      <c r="A3" s="8" t="s">
        <v>2</v>
      </c>
      <c r="B3" s="8" t="s">
        <v>7</v>
      </c>
      <c r="C3" s="12">
        <f t="shared" ref="C3:C11" si="0">HLOOKUP(A3,$A$15:$E$16,2,FALSE)</f>
        <v>1000000</v>
      </c>
      <c r="D3" s="12">
        <f>VLOOKUP(A3,$A$19:$C$23,2,FALSE)</f>
        <v>200000</v>
      </c>
      <c r="E3" s="12">
        <f t="shared" ref="E3:E12" si="1">VLOOKUP(A3,$A$19:$C$23,3,FALSE)</f>
        <v>100000</v>
      </c>
    </row>
    <row r="4" spans="1:6" x14ac:dyDescent="0.35">
      <c r="A4" s="8" t="s">
        <v>3</v>
      </c>
      <c r="B4" s="8" t="s">
        <v>6</v>
      </c>
      <c r="C4" s="12">
        <f t="shared" si="0"/>
        <v>2500000</v>
      </c>
      <c r="D4" s="12">
        <f>VLOOKUP(A4,$A$19:$C$23,2,FALSE)</f>
        <v>350000</v>
      </c>
      <c r="E4" s="12">
        <f t="shared" si="1"/>
        <v>250000</v>
      </c>
    </row>
    <row r="5" spans="1:6" x14ac:dyDescent="0.35">
      <c r="A5" s="8" t="s">
        <v>1</v>
      </c>
      <c r="B5" s="8" t="s">
        <v>7</v>
      </c>
      <c r="C5" s="12">
        <f t="shared" si="0"/>
        <v>1500000</v>
      </c>
      <c r="D5" s="12">
        <f t="shared" ref="D3:D11" si="2">VLOOKUP(A5,$A$19:$C$23,2,FALSE)</f>
        <v>250000</v>
      </c>
      <c r="E5" s="12">
        <f t="shared" si="1"/>
        <v>150000</v>
      </c>
    </row>
    <row r="6" spans="1:6" x14ac:dyDescent="0.35">
      <c r="A6" s="8" t="s">
        <v>4</v>
      </c>
      <c r="B6" s="8" t="s">
        <v>7</v>
      </c>
      <c r="C6" s="12">
        <f t="shared" si="0"/>
        <v>2000000</v>
      </c>
      <c r="D6" s="12">
        <f t="shared" si="2"/>
        <v>300000</v>
      </c>
      <c r="E6" s="12">
        <f t="shared" si="1"/>
        <v>200000</v>
      </c>
    </row>
    <row r="7" spans="1:6" x14ac:dyDescent="0.35">
      <c r="A7" s="8" t="s">
        <v>4</v>
      </c>
      <c r="B7" s="8" t="s">
        <v>6</v>
      </c>
      <c r="C7" s="12">
        <f t="shared" si="0"/>
        <v>2000000</v>
      </c>
      <c r="D7" s="12">
        <f t="shared" si="2"/>
        <v>300000</v>
      </c>
      <c r="E7" s="12">
        <f t="shared" si="1"/>
        <v>200000</v>
      </c>
    </row>
    <row r="8" spans="1:6" x14ac:dyDescent="0.35">
      <c r="A8" s="8" t="s">
        <v>2</v>
      </c>
      <c r="B8" s="8" t="s">
        <v>6</v>
      </c>
      <c r="C8" s="12">
        <f t="shared" si="0"/>
        <v>1000000</v>
      </c>
      <c r="D8" s="12">
        <f t="shared" si="2"/>
        <v>200000</v>
      </c>
      <c r="E8" s="12">
        <f t="shared" si="1"/>
        <v>100000</v>
      </c>
    </row>
    <row r="9" spans="1:6" x14ac:dyDescent="0.35">
      <c r="A9" s="8" t="s">
        <v>1</v>
      </c>
      <c r="B9" s="8" t="s">
        <v>7</v>
      </c>
      <c r="C9" s="12">
        <f t="shared" si="0"/>
        <v>1500000</v>
      </c>
      <c r="D9" s="12">
        <f t="shared" si="2"/>
        <v>250000</v>
      </c>
      <c r="E9" s="12">
        <f t="shared" si="1"/>
        <v>150000</v>
      </c>
    </row>
    <row r="10" spans="1:6" x14ac:dyDescent="0.35">
      <c r="A10" s="8" t="s">
        <v>3</v>
      </c>
      <c r="B10" s="8" t="s">
        <v>6</v>
      </c>
      <c r="C10" s="12">
        <f t="shared" si="0"/>
        <v>2500000</v>
      </c>
      <c r="D10" s="12">
        <f t="shared" si="2"/>
        <v>350000</v>
      </c>
      <c r="E10" s="12">
        <f t="shared" si="1"/>
        <v>250000</v>
      </c>
    </row>
    <row r="11" spans="1:6" x14ac:dyDescent="0.35">
      <c r="A11" s="8" t="s">
        <v>3</v>
      </c>
      <c r="B11" s="8" t="s">
        <v>6</v>
      </c>
      <c r="C11" s="12">
        <f t="shared" si="0"/>
        <v>2500000</v>
      </c>
      <c r="D11" s="12">
        <f t="shared" si="2"/>
        <v>350000</v>
      </c>
      <c r="E11" s="12">
        <f t="shared" si="1"/>
        <v>250000</v>
      </c>
    </row>
    <row r="12" spans="1:6" x14ac:dyDescent="0.35">
      <c r="A12" s="5"/>
      <c r="B12" s="5"/>
      <c r="C12" s="5"/>
      <c r="D12" s="3" t="s">
        <v>11</v>
      </c>
      <c r="E12" s="9"/>
    </row>
    <row r="14" spans="1:6" x14ac:dyDescent="0.35">
      <c r="A14" s="7" t="s">
        <v>12</v>
      </c>
    </row>
    <row r="15" spans="1:6" x14ac:dyDescent="0.35">
      <c r="A15" s="3" t="s">
        <v>0</v>
      </c>
      <c r="B15" s="8" t="s">
        <v>2</v>
      </c>
      <c r="C15" s="8" t="s">
        <v>1</v>
      </c>
      <c r="D15" s="8" t="s">
        <v>4</v>
      </c>
      <c r="E15" s="8" t="s">
        <v>3</v>
      </c>
    </row>
    <row r="16" spans="1:6" x14ac:dyDescent="0.35">
      <c r="A16" s="3" t="s">
        <v>13</v>
      </c>
      <c r="B16" s="6">
        <v>1000000</v>
      </c>
      <c r="C16" s="6">
        <v>1500000</v>
      </c>
      <c r="D16" s="6">
        <v>2000000</v>
      </c>
      <c r="E16" s="6">
        <v>2500000</v>
      </c>
    </row>
    <row r="18" spans="1:3" x14ac:dyDescent="0.35">
      <c r="A18" s="7" t="s">
        <v>14</v>
      </c>
    </row>
    <row r="19" spans="1:3" x14ac:dyDescent="0.35">
      <c r="A19" s="4" t="s">
        <v>15</v>
      </c>
      <c r="B19" s="4" t="s">
        <v>16</v>
      </c>
      <c r="C19" s="4" t="s">
        <v>6</v>
      </c>
    </row>
    <row r="20" spans="1:3" x14ac:dyDescent="0.35">
      <c r="A20" s="10" t="s">
        <v>2</v>
      </c>
      <c r="B20" s="11">
        <v>200000</v>
      </c>
      <c r="C20" s="6">
        <v>100000</v>
      </c>
    </row>
    <row r="21" spans="1:3" x14ac:dyDescent="0.35">
      <c r="A21" s="10" t="s">
        <v>1</v>
      </c>
      <c r="B21" s="6">
        <v>250000</v>
      </c>
      <c r="C21" s="6">
        <v>150000</v>
      </c>
    </row>
    <row r="22" spans="1:3" x14ac:dyDescent="0.35">
      <c r="A22" s="10" t="s">
        <v>4</v>
      </c>
      <c r="B22" s="6">
        <v>300000</v>
      </c>
      <c r="C22" s="6">
        <v>200000</v>
      </c>
    </row>
    <row r="23" spans="1:3" x14ac:dyDescent="0.35">
      <c r="A23" s="10" t="s">
        <v>3</v>
      </c>
      <c r="B23" s="6">
        <v>350000</v>
      </c>
      <c r="C23" s="6">
        <v>250000</v>
      </c>
    </row>
  </sheetData>
  <mergeCells count="1"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2026-05-04T01:40:17Z</dcterms:created>
  <dcterms:modified xsi:type="dcterms:W3CDTF">2026-05-04T05:20:22Z</dcterms:modified>
</cp:coreProperties>
</file>